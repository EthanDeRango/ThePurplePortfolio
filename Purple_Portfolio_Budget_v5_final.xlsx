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Budget" sheetId="1" state="visible" r:id="rId1"/>
    <sheet xmlns:r="http://schemas.openxmlformats.org/officeDocument/2006/relationships" name="Future Year" sheetId="2" state="visible" r:id="rId2"/>
    <sheet xmlns:r="http://schemas.openxmlformats.org/officeDocument/2006/relationships" name="Life Stage Guide" sheetId="3" state="visible" r:id="rId3"/>
    <sheet xmlns:r="http://schemas.openxmlformats.org/officeDocument/2006/relationships" name="Claude — Dev 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9">
    <font>
      <name val="Calibri"/>
      <family val="2"/>
      <color theme="1"/>
      <sz val="11"/>
      <scheme val="minor"/>
    </font>
    <font>
      <name val="Calibri"/>
      <b val="1"/>
      <color rgb="00B8972E"/>
      <sz val="16"/>
    </font>
    <font>
      <name val="Calibri"/>
      <i val="1"/>
      <color rgb="00C8B8F0"/>
      <sz val="9"/>
    </font>
    <font>
      <name val="Calibri"/>
      <b val="1"/>
      <color rgb="00D4AF37"/>
      <sz val="10"/>
    </font>
    <font>
      <name val="Calibri"/>
      <b val="1"/>
      <color rgb="00FFFFFF"/>
      <sz val="11"/>
    </font>
    <font>
      <name val="Calibri"/>
      <i val="1"/>
      <color rgb="00A8F0C8"/>
      <sz val="9"/>
    </font>
    <font>
      <name val="Calibri"/>
      <color rgb="00FFFFFF"/>
      <sz val="9"/>
    </font>
    <font>
      <name val="Calibri"/>
      <b val="1"/>
      <color rgb="00B8972E"/>
      <sz val="11"/>
    </font>
    <font>
      <name val="Calibri"/>
      <b val="1"/>
      <color rgb="00B8972E"/>
      <sz val="10"/>
    </font>
    <font>
      <name val="Calibri"/>
      <b val="1"/>
      <color rgb="00B8972E"/>
      <sz val="12"/>
    </font>
    <font>
      <name val="Calibri"/>
      <color rgb="001A0A2E"/>
      <sz val="11"/>
    </font>
    <font>
      <name val="Calibri"/>
      <b val="1"/>
      <color rgb="00D4AF37"/>
      <sz val="11"/>
    </font>
    <font>
      <name val="Calibri"/>
      <b val="1"/>
      <color rgb="00FFFFFF"/>
      <sz val="13"/>
    </font>
    <font>
      <name val="Calibri"/>
      <b val="1"/>
      <color rgb="00FFFFFF"/>
      <sz val="12"/>
    </font>
    <font>
      <name val="Calibri"/>
      <i val="1"/>
      <color rgb="00D4AF37"/>
      <sz val="9"/>
    </font>
    <font>
      <name val="Calibri"/>
      <color rgb="00D4AF37"/>
      <sz val="10"/>
    </font>
    <font>
      <name val="Calibri"/>
      <b val="1"/>
      <color rgb="00FFFFFF"/>
      <sz val="10"/>
    </font>
    <font>
      <name val="Calibri"/>
      <b val="1"/>
      <color rgb="003B1F6A"/>
      <sz val="11"/>
    </font>
    <font>
      <name val="Calibri"/>
      <color rgb="002D6A4F"/>
      <sz val="11"/>
    </font>
    <font>
      <name val="Calibri"/>
      <i val="1"/>
      <color rgb="00666666"/>
      <sz val="9"/>
    </font>
    <font>
      <name val="Calibri"/>
      <b val="1"/>
      <color rgb="001A0A2E"/>
      <sz val="11"/>
    </font>
    <font>
      <name val="Calibri"/>
      <color rgb="003B1F6A"/>
      <sz val="11"/>
    </font>
    <font>
      <name val="Calibri"/>
      <color rgb="00C0392B"/>
      <sz val="11"/>
    </font>
    <font>
      <name val="Calibri"/>
      <b val="1"/>
      <color rgb="002D6A4F"/>
      <sz val="11"/>
    </font>
    <font>
      <name val="Calibri"/>
      <i val="1"/>
      <color rgb="00666666"/>
      <sz val="10"/>
    </font>
    <font>
      <name val="Calibri"/>
      <i val="1"/>
      <color rgb="006B46C1"/>
      <sz val="10"/>
    </font>
    <font>
      <name val="Calibri"/>
      <b val="1"/>
      <color rgb="001A0A2E"/>
      <sz val="10"/>
    </font>
    <font>
      <name val="Calibri"/>
      <color rgb="001A0A2E"/>
      <sz val="10"/>
    </font>
    <font>
      <name val="Calibri"/>
      <b val="1"/>
      <color rgb="00B8972E"/>
      <sz val="15"/>
    </font>
  </fonts>
  <fills count="16">
    <fill>
      <patternFill/>
    </fill>
    <fill>
      <patternFill patternType="gray125"/>
    </fill>
    <fill>
      <patternFill patternType="solid">
        <fgColor rgb="001A0A2E"/>
      </patternFill>
    </fill>
    <fill>
      <patternFill patternType="solid">
        <fgColor rgb="003B1F6A"/>
      </patternFill>
    </fill>
    <fill>
      <patternFill patternType="solid">
        <fgColor rgb="002A1050"/>
      </patternFill>
    </fill>
    <fill>
      <patternFill patternType="solid">
        <fgColor rgb="006B46C1"/>
      </patternFill>
    </fill>
    <fill>
      <patternFill patternType="solid">
        <fgColor rgb="00EDE9F6"/>
      </patternFill>
    </fill>
    <fill>
      <patternFill patternType="solid">
        <fgColor rgb="00F5F3FF"/>
      </patternFill>
    </fill>
    <fill>
      <patternFill patternType="solid">
        <fgColor rgb="00FFF0F0"/>
      </patternFill>
    </fill>
    <fill>
      <patternFill patternType="solid">
        <fgColor rgb="00F0FFF4"/>
      </patternFill>
    </fill>
    <fill>
      <patternFill patternType="solid">
        <fgColor rgb="002D6A4F"/>
      </patternFill>
    </fill>
    <fill>
      <patternFill patternType="solid">
        <fgColor rgb="001E0D3F"/>
      </patternFill>
    </fill>
    <fill>
      <patternFill patternType="solid">
        <fgColor rgb="003D1A70"/>
      </patternFill>
    </fill>
    <fill>
      <patternFill patternType="solid">
        <fgColor rgb="00FFFDE7"/>
      </patternFill>
    </fill>
    <fill>
      <patternFill patternType="solid">
        <fgColor rgb="00D8F3DC"/>
      </patternFill>
    </fill>
    <fill>
      <patternFill patternType="solid">
        <fgColor rgb="001B4332"/>
      </patternFill>
    </fill>
  </fills>
  <borders count="21">
    <border>
      <left/>
      <right/>
      <top/>
      <bottom/>
      <diagonal/>
    </border>
    <border>
      <left style="medium">
        <color rgb="00B8972E"/>
      </left>
      <right style="medium">
        <color rgb="00B8972E"/>
      </right>
      <top style="medium">
        <color rgb="00B8972E"/>
      </top>
      <bottom style="medium">
        <color rgb="00B8972E"/>
      </bottom>
    </border>
    <border>
      <left style="medium">
        <color rgb="00B8972E"/>
      </left>
      <right style="thin">
        <color rgb="00B8972E"/>
      </right>
      <top style="medium">
        <color rgb="00B8972E"/>
      </top>
      <bottom style="medium">
        <color rgb="00B8972E"/>
      </bottom>
    </border>
    <border>
      <left style="thin">
        <color rgb="00B8972E"/>
      </left>
      <right style="thin">
        <color rgb="00B8972E"/>
      </right>
      <top style="medium">
        <color rgb="00B8972E"/>
      </top>
      <bottom style="medium">
        <color rgb="00B8972E"/>
      </bottom>
    </border>
    <border>
      <left style="thin">
        <color rgb="00B8972E"/>
      </left>
      <right style="medium">
        <color rgb="00B8972E"/>
      </right>
      <top style="medium">
        <color rgb="00B8972E"/>
      </top>
      <bottom style="medium">
        <color rgb="00B8972E"/>
      </bottom>
    </border>
    <border>
      <left style="medium">
        <color rgb="003B1F6A"/>
      </left>
      <right style="thin">
        <color rgb="003B1F6A"/>
      </right>
      <top style="medium">
        <color rgb="003B1F6A"/>
      </top>
      <bottom style="medium">
        <color rgb="003B1F6A"/>
      </bottom>
    </border>
    <border>
      <left style="thin">
        <color rgb="003B1F6A"/>
      </left>
      <right style="thin">
        <color rgb="003B1F6A"/>
      </right>
      <top style="medium">
        <color rgb="003B1F6A"/>
      </top>
      <bottom style="medium">
        <color rgb="003B1F6A"/>
      </bottom>
    </border>
    <border>
      <left style="thin">
        <color rgb="003B1F6A"/>
      </left>
      <right style="medium">
        <color rgb="003B1F6A"/>
      </right>
      <top style="medium">
        <color rgb="003B1F6A"/>
      </top>
      <bottom style="medium">
        <color rgb="003B1F6A"/>
      </bottom>
    </border>
    <border>
      <left style="thin">
        <color rgb="00C0B8D8"/>
      </left>
      <right style="thin">
        <color rgb="00C0B8D8"/>
      </right>
      <top style="thin">
        <color rgb="00C0B8D8"/>
      </top>
      <bottom style="thin">
        <color rgb="00C0B8D8"/>
      </bottom>
    </border>
    <border>
      <left style="medium">
        <color rgb="00C0B8D8"/>
      </left>
      <right style="thin">
        <color rgb="00C0B8D8"/>
      </right>
      <top style="medium">
        <color rgb="00C0B8D8"/>
      </top>
      <bottom style="medium">
        <color rgb="00C0B8D8"/>
      </bottom>
    </border>
    <border>
      <left style="thin">
        <color rgb="00C0B8D8"/>
      </left>
      <right style="thin">
        <color rgb="00C0B8D8"/>
      </right>
      <top style="medium">
        <color rgb="00C0B8D8"/>
      </top>
      <bottom style="medium">
        <color rgb="00C0B8D8"/>
      </bottom>
    </border>
    <border>
      <left style="thin">
        <color rgb="00C0B8D8"/>
      </left>
      <right style="medium">
        <color rgb="00C0B8D8"/>
      </right>
      <top style="medium">
        <color rgb="00C0B8D8"/>
      </top>
      <bottom style="medium">
        <color rgb="00C0B8D8"/>
      </bottom>
    </border>
    <border>
      <left style="medium">
        <color rgb="00D8F3DC"/>
      </left>
      <right style="medium">
        <color rgb="00D8F3DC"/>
      </right>
      <top style="medium">
        <color rgb="00D8F3DC"/>
      </top>
      <bottom style="medium">
        <color rgb="00D8F3DC"/>
      </bottom>
    </border>
    <border>
      <left style="medium">
        <color rgb="00D8F3DC"/>
      </left>
      <right style="thin">
        <color rgb="00D8F3DC"/>
      </right>
      <top style="medium">
        <color rgb="00D8F3DC"/>
      </top>
      <bottom style="medium">
        <color rgb="00D8F3DC"/>
      </bottom>
    </border>
    <border>
      <left style="thin">
        <color rgb="00D8F3DC"/>
      </left>
      <right style="thin">
        <color rgb="00D8F3DC"/>
      </right>
      <top style="medium">
        <color rgb="00D8F3DC"/>
      </top>
      <bottom style="medium">
        <color rgb="00D8F3DC"/>
      </bottom>
    </border>
    <border>
      <left style="thin">
        <color rgb="00D8F3DC"/>
      </left>
      <right style="medium">
        <color rgb="00D8F3DC"/>
      </right>
      <top style="medium">
        <color rgb="00D8F3DC"/>
      </top>
      <bottom style="medium">
        <color rgb="00D8F3DC"/>
      </bottom>
    </border>
    <border>
      <left/>
      <right/>
      <top style="medium">
        <color rgb="00B8972E"/>
      </top>
      <bottom/>
      <diagonal/>
    </border>
    <border>
      <left/>
      <right style="medium">
        <color rgb="00B8972E"/>
      </right>
      <top style="medium">
        <color rgb="00B8972E"/>
      </top>
      <bottom/>
      <diagonal/>
    </border>
    <border>
      <left/>
      <right style="medium">
        <color rgb="00B8972E"/>
      </right>
      <top style="medium">
        <color rgb="00B8972E"/>
      </top>
      <bottom style="medium">
        <color rgb="00B8972E"/>
      </bottom>
      <diagonal/>
    </border>
    <border>
      <left style="thin">
        <color rgb="00B8972E"/>
      </left>
      <right style="thin">
        <color rgb="00B8972E"/>
      </right>
      <top style="thin">
        <color rgb="00B8972E"/>
      </top>
      <bottom style="thin">
        <color rgb="00B8972E"/>
      </bottom>
    </border>
    <border>
      <left style="thin">
        <color rgb="002D6A4F"/>
      </left>
      <right style="thin">
        <color rgb="002D6A4F"/>
      </right>
      <top style="thin">
        <color rgb="002D6A4F"/>
      </top>
      <bottom style="thin">
        <color rgb="002D6A4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right" vertical="center"/>
    </xf>
    <xf numFmtId="0" fontId="0" fillId="4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4" borderId="0" pivotButton="0" quotePrefix="0" xfId="0"/>
    <xf numFmtId="0" fontId="7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8" fillId="2" borderId="3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9" fillId="3" borderId="5" applyAlignment="1" pivotButton="0" quotePrefix="0" xfId="0">
      <alignment horizontal="left" vertical="center"/>
    </xf>
    <xf numFmtId="0" fontId="0" fillId="3" borderId="6" pivotButton="0" quotePrefix="0" xfId="0"/>
    <xf numFmtId="0" fontId="0" fillId="3" borderId="7" pivotButton="0" quotePrefix="0" xfId="0"/>
    <xf numFmtId="0" fontId="10" fillId="6" borderId="9" applyAlignment="1" pivotButton="0" quotePrefix="0" xfId="0">
      <alignment horizontal="left" vertical="center"/>
    </xf>
    <xf numFmtId="0" fontId="0" fillId="6" borderId="10" pivotButton="0" quotePrefix="0" xfId="0"/>
    <xf numFmtId="164" fontId="10" fillId="6" borderId="10" applyAlignment="1" pivotButton="0" quotePrefix="0" xfId="0">
      <alignment horizontal="center" vertical="center"/>
    </xf>
    <xf numFmtId="164" fontId="10" fillId="6" borderId="11" applyAlignment="1" pivotButton="0" quotePrefix="0" xfId="0">
      <alignment horizontal="center" vertical="center"/>
    </xf>
    <xf numFmtId="0" fontId="10" fillId="7" borderId="9" applyAlignment="1" pivotButton="0" quotePrefix="0" xfId="0">
      <alignment horizontal="left" vertical="center"/>
    </xf>
    <xf numFmtId="0" fontId="0" fillId="7" borderId="10" pivotButton="0" quotePrefix="0" xfId="0"/>
    <xf numFmtId="164" fontId="10" fillId="7" borderId="10" applyAlignment="1" pivotButton="0" quotePrefix="0" xfId="0">
      <alignment horizontal="center" vertical="center"/>
    </xf>
    <xf numFmtId="164" fontId="10" fillId="7" borderId="1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0" fillId="3" borderId="3" pivotButton="0" quotePrefix="0" xfId="0"/>
    <xf numFmtId="164" fontId="11" fillId="3" borderId="3" applyAlignment="1" pivotButton="0" quotePrefix="0" xfId="0">
      <alignment horizontal="center" vertical="center"/>
    </xf>
    <xf numFmtId="164" fontId="11" fillId="3" borderId="4" applyAlignment="1" pivotButton="0" quotePrefix="0" xfId="0">
      <alignment horizontal="center" vertical="center"/>
    </xf>
    <xf numFmtId="0" fontId="10" fillId="8" borderId="9" applyAlignment="1" pivotButton="0" quotePrefix="0" xfId="0">
      <alignment horizontal="left" vertical="center"/>
    </xf>
    <xf numFmtId="0" fontId="0" fillId="8" borderId="10" pivotButton="0" quotePrefix="0" xfId="0"/>
    <xf numFmtId="164" fontId="10" fillId="8" borderId="10" applyAlignment="1" pivotButton="0" quotePrefix="0" xfId="0">
      <alignment horizontal="center" vertical="center"/>
    </xf>
    <xf numFmtId="164" fontId="10" fillId="8" borderId="11" applyAlignment="1" pivotButton="0" quotePrefix="0" xfId="0">
      <alignment horizontal="center" vertical="center"/>
    </xf>
    <xf numFmtId="0" fontId="10" fillId="9" borderId="9" applyAlignment="1" pivotButton="0" quotePrefix="0" xfId="0">
      <alignment horizontal="left" vertical="center"/>
    </xf>
    <xf numFmtId="0" fontId="0" fillId="9" borderId="10" pivotButton="0" quotePrefix="0" xfId="0"/>
    <xf numFmtId="164" fontId="10" fillId="9" borderId="10" applyAlignment="1" pivotButton="0" quotePrefix="0" xfId="0">
      <alignment horizontal="center" vertical="center"/>
    </xf>
    <xf numFmtId="164" fontId="10" fillId="9" borderId="11" applyAlignment="1" pivotButton="0" quotePrefix="0" xfId="0">
      <alignment horizontal="center" vertical="center"/>
    </xf>
    <xf numFmtId="0" fontId="12" fillId="10" borderId="13" applyAlignment="1" pivotButton="0" quotePrefix="0" xfId="0">
      <alignment horizontal="left" vertical="center"/>
    </xf>
    <xf numFmtId="0" fontId="0" fillId="10" borderId="14" pivotButton="0" quotePrefix="0" xfId="0"/>
    <xf numFmtId="164" fontId="13" fillId="10" borderId="14" applyAlignment="1" pivotButton="0" quotePrefix="0" xfId="0">
      <alignment horizontal="center" vertical="center"/>
    </xf>
    <xf numFmtId="164" fontId="13" fillId="10" borderId="15" applyAlignment="1" pivotButton="0" quotePrefix="0" xfId="0">
      <alignment horizontal="center" vertical="center"/>
    </xf>
    <xf numFmtId="0" fontId="14" fillId="4" borderId="0" applyAlignment="1" pivotButton="0" quotePrefix="0" xfId="0">
      <alignment horizontal="left" vertical="center"/>
    </xf>
    <xf numFmtId="0" fontId="15" fillId="11" borderId="0" applyAlignment="1" pivotButton="0" quotePrefix="0" xfId="0">
      <alignment horizontal="left" vertical="center"/>
    </xf>
    <xf numFmtId="0" fontId="0" fillId="11" borderId="0" pivotButton="0" quotePrefix="0" xfId="0"/>
    <xf numFmtId="164" fontId="16" fillId="11" borderId="0" applyAlignment="1" pivotButton="0" quotePrefix="0" xfId="0">
      <alignment horizontal="center" vertical="center"/>
    </xf>
    <xf numFmtId="49" fontId="16" fillId="11" borderId="0" applyAlignment="1" pivotButton="0" quotePrefix="0" xfId="0">
      <alignment horizontal="center" vertical="center"/>
    </xf>
    <xf numFmtId="0" fontId="0" fillId="0" borderId="18" pivotButton="0" quotePrefix="0" xfId="0"/>
    <xf numFmtId="0" fontId="16" fillId="12" borderId="19" applyAlignment="1" pivotButton="0" quotePrefix="0" xfId="0">
      <alignment horizontal="center" vertical="center"/>
    </xf>
    <xf numFmtId="165" fontId="10" fillId="7" borderId="10" applyAlignment="1" pivotButton="0" quotePrefix="0" xfId="0">
      <alignment horizontal="center" vertical="center"/>
    </xf>
    <xf numFmtId="164" fontId="10" fillId="13" borderId="10" applyAlignment="1" pivotButton="0" quotePrefix="0" xfId="0">
      <alignment horizontal="center" vertical="center"/>
    </xf>
    <xf numFmtId="0" fontId="10" fillId="7" borderId="10" applyAlignment="1" pivotButton="0" quotePrefix="0" xfId="0">
      <alignment horizontal="center" vertical="center"/>
    </xf>
    <xf numFmtId="164" fontId="17" fillId="7" borderId="10" applyAlignment="1" pivotButton="0" quotePrefix="0" xfId="0">
      <alignment horizontal="center" vertical="center"/>
    </xf>
    <xf numFmtId="164" fontId="18" fillId="7" borderId="10" applyAlignment="1" pivotButton="0" quotePrefix="0" xfId="0">
      <alignment horizontal="center" vertical="center"/>
    </xf>
    <xf numFmtId="0" fontId="19" fillId="7" borderId="11" applyAlignment="1" pivotButton="0" quotePrefix="0" xfId="0">
      <alignment horizontal="left" vertical="center" wrapText="1"/>
    </xf>
    <xf numFmtId="165" fontId="10" fillId="6" borderId="10" applyAlignment="1" pivotButton="0" quotePrefix="0" xfId="0">
      <alignment horizontal="center" vertical="center"/>
    </xf>
    <xf numFmtId="0" fontId="10" fillId="6" borderId="10" applyAlignment="1" pivotButton="0" quotePrefix="0" xfId="0">
      <alignment horizontal="center" vertical="center"/>
    </xf>
    <xf numFmtId="164" fontId="17" fillId="6" borderId="10" applyAlignment="1" pivotButton="0" quotePrefix="0" xfId="0">
      <alignment horizontal="center" vertical="center"/>
    </xf>
    <xf numFmtId="164" fontId="18" fillId="6" borderId="10" applyAlignment="1" pivotButton="0" quotePrefix="0" xfId="0">
      <alignment horizontal="center" vertical="center"/>
    </xf>
    <xf numFmtId="0" fontId="19" fillId="6" borderId="11" applyAlignment="1" pivotButton="0" quotePrefix="0" xfId="0">
      <alignment horizontal="left" vertical="center" wrapText="1"/>
    </xf>
    <xf numFmtId="0" fontId="8" fillId="12" borderId="19" applyAlignment="1" pivotButton="0" quotePrefix="0" xfId="0">
      <alignment horizontal="center" vertical="center"/>
    </xf>
    <xf numFmtId="0" fontId="20" fillId="6" borderId="9" applyAlignment="1" pivotButton="0" quotePrefix="0" xfId="0">
      <alignment horizontal="left" vertical="center"/>
    </xf>
    <xf numFmtId="164" fontId="21" fillId="6" borderId="10" applyAlignment="1" pivotButton="0" quotePrefix="0" xfId="0">
      <alignment horizontal="center" vertical="center"/>
    </xf>
    <xf numFmtId="164" fontId="21" fillId="6" borderId="11" applyAlignment="1" pivotButton="0" quotePrefix="0" xfId="0">
      <alignment horizontal="center" vertical="center"/>
    </xf>
    <xf numFmtId="0" fontId="20" fillId="8" borderId="9" applyAlignment="1" pivotButton="0" quotePrefix="0" xfId="0">
      <alignment horizontal="left" vertical="center"/>
    </xf>
    <xf numFmtId="164" fontId="22" fillId="8" borderId="10" applyAlignment="1" pivotButton="0" quotePrefix="0" xfId="0">
      <alignment horizontal="center" vertical="center"/>
    </xf>
    <xf numFmtId="164" fontId="22" fillId="8" borderId="11" applyAlignment="1" pivotButton="0" quotePrefix="0" xfId="0">
      <alignment horizontal="center" vertical="center"/>
    </xf>
    <xf numFmtId="0" fontId="20" fillId="9" borderId="9" applyAlignment="1" pivotButton="0" quotePrefix="0" xfId="0">
      <alignment horizontal="left" vertical="center"/>
    </xf>
    <xf numFmtId="164" fontId="18" fillId="9" borderId="10" applyAlignment="1" pivotButton="0" quotePrefix="0" xfId="0">
      <alignment horizontal="center" vertical="center"/>
    </xf>
    <xf numFmtId="164" fontId="18" fillId="9" borderId="11" applyAlignment="1" pivotButton="0" quotePrefix="0" xfId="0">
      <alignment horizontal="center" vertical="center"/>
    </xf>
    <xf numFmtId="0" fontId="20" fillId="14" borderId="9" applyAlignment="1" pivotButton="0" quotePrefix="0" xfId="0">
      <alignment horizontal="left" vertical="center"/>
    </xf>
    <xf numFmtId="164" fontId="23" fillId="14" borderId="10" applyAlignment="1" pivotButton="0" quotePrefix="0" xfId="0">
      <alignment horizontal="center" vertical="center"/>
    </xf>
    <xf numFmtId="164" fontId="23" fillId="14" borderId="11" applyAlignment="1" pivotButton="0" quotePrefix="0" xfId="0">
      <alignment horizontal="center" vertical="center"/>
    </xf>
    <xf numFmtId="0" fontId="24" fillId="7" borderId="8" applyAlignment="1" pivotButton="0" quotePrefix="0" xfId="0">
      <alignment horizontal="left" vertical="center"/>
    </xf>
    <xf numFmtId="0" fontId="25" fillId="7" borderId="8" applyAlignment="1" pivotButton="0" quotePrefix="0" xfId="0">
      <alignment horizontal="center" vertical="center"/>
    </xf>
    <xf numFmtId="0" fontId="13" fillId="10" borderId="5" applyAlignment="1" pivotButton="0" quotePrefix="0" xfId="0">
      <alignment horizontal="left" vertical="center"/>
    </xf>
    <xf numFmtId="0" fontId="0" fillId="10" borderId="6" pivotButton="0" quotePrefix="0" xfId="0"/>
    <xf numFmtId="0" fontId="0" fillId="10" borderId="7" pivotButton="0" quotePrefix="0" xfId="0"/>
    <xf numFmtId="0" fontId="16" fillId="15" borderId="20" applyAlignment="1" pivotButton="0" quotePrefix="0" xfId="0">
      <alignment horizontal="center" vertical="center"/>
    </xf>
    <xf numFmtId="49" fontId="0" fillId="9" borderId="8" applyAlignment="1" pivotButton="0" quotePrefix="0" xfId="0">
      <alignment horizontal="center" vertical="center"/>
    </xf>
    <xf numFmtId="164" fontId="0" fillId="9" borderId="8" applyAlignment="1" pivotButton="0" quotePrefix="0" xfId="0">
      <alignment horizontal="center" vertical="center"/>
    </xf>
    <xf numFmtId="49" fontId="0" fillId="7" borderId="8" applyAlignment="1" pivotButton="0" quotePrefix="0" xfId="0">
      <alignment horizontal="center" vertical="center"/>
    </xf>
    <xf numFmtId="164" fontId="0" fillId="7" borderId="8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26" fillId="6" borderId="8" applyAlignment="1" pivotButton="0" quotePrefix="0" xfId="0">
      <alignment horizontal="center" vertical="center" wrapText="1"/>
    </xf>
    <xf numFmtId="0" fontId="27" fillId="6" borderId="8" applyAlignment="1" pivotButton="0" quotePrefix="0" xfId="0">
      <alignment horizontal="center" vertical="center" wrapText="1"/>
    </xf>
    <xf numFmtId="0" fontId="26" fillId="7" borderId="8" applyAlignment="1" pivotButton="0" quotePrefix="0" xfId="0">
      <alignment horizontal="center" vertical="center" wrapText="1"/>
    </xf>
    <xf numFmtId="0" fontId="27" fillId="7" borderId="8" applyAlignment="1" pivotButton="0" quotePrefix="0" xfId="0">
      <alignment horizontal="center" vertical="center" wrapText="1"/>
    </xf>
    <xf numFmtId="0" fontId="26" fillId="9" borderId="8" applyAlignment="1" pivotButton="0" quotePrefix="0" xfId="0">
      <alignment horizontal="center" vertical="center" wrapText="1"/>
    </xf>
    <xf numFmtId="0" fontId="27" fillId="9" borderId="8" applyAlignment="1" pivotButton="0" quotePrefix="0" xfId="0">
      <alignment horizontal="center" vertical="center" wrapText="1"/>
    </xf>
    <xf numFmtId="0" fontId="28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27" fillId="6" borderId="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Multi-Year Financial Projection</a:t>
            </a:r>
          </a:p>
        </rich>
      </tx>
    </title>
    <plotArea>
      <barChart>
        <barDir val="col"/>
        <grouping val="clustered"/>
        <ser>
          <idx val="0"/>
          <order val="0"/>
          <tx>
            <v>Income</v>
          </tx>
          <spPr>
            <a:solidFill xmlns:a="http://schemas.openxmlformats.org/drawingml/2006/main">
              <a:srgbClr val="3B1F6A"/>
            </a:solidFill>
            <a:ln xmlns:a="http://schemas.openxmlformats.org/drawingml/2006/main">
              <a:solidFill>
                <a:srgbClr val="3B1F6A"/>
              </a:solidFill>
              <a:prstDash val="solid"/>
            </a:ln>
          </spPr>
          <cat>
            <numRef>
              <f>'Future Year'!$B$13:$L$13</f>
            </numRef>
          </cat>
          <val>
            <numRef>
              <f>'Future Year'!$B$14:$L$14</f>
            </numRef>
          </val>
        </ser>
        <ser>
          <idx val="1"/>
          <order val="1"/>
          <tx>
            <v>Expenses</v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'Future Year'!$B$13:$L$13</f>
            </numRef>
          </cat>
          <val>
            <numRef>
              <f>'Future Year'!$B$15:$L$15</f>
            </numRef>
          </val>
        </ser>
        <ser>
          <idx val="2"/>
          <order val="2"/>
          <tx>
            <v>Investments</v>
          </tx>
          <spPr>
            <a:solidFill xmlns:a="http://schemas.openxmlformats.org/drawingml/2006/main">
              <a:srgbClr val="2D6A4F"/>
            </a:solidFill>
            <a:ln xmlns:a="http://schemas.openxmlformats.org/drawingml/2006/main">
              <a:solidFill>
                <a:srgbClr val="2D6A4F"/>
              </a:solidFill>
              <a:prstDash val="solid"/>
            </a:ln>
          </spPr>
          <cat>
            <numRef>
              <f>'Future Year'!$B$13:$L$13</f>
            </numRef>
          </cat>
          <val>
            <numRef>
              <f>'Future Year'!$B$16:$L$16</f>
            </numRef>
          </val>
        </ser>
        <ser>
          <idx val="3"/>
          <order val="3"/>
          <tx>
            <v>Net CF</v>
          </tx>
          <spPr>
            <a:solidFill xmlns:a="http://schemas.openxmlformats.org/drawingml/2006/main">
              <a:srgbClr val="B8972E"/>
            </a:solidFill>
            <a:ln xmlns:a="http://schemas.openxmlformats.org/drawingml/2006/main">
              <a:solidFill>
                <a:srgbClr val="B8972E"/>
              </a:solidFill>
              <a:prstDash val="solid"/>
            </a:ln>
          </spPr>
          <cat>
            <numRef>
              <f>'Future Year'!$B$13:$L$13</f>
            </numRef>
          </cat>
          <val>
            <numRef>
              <f>'Future Year'!$B$17:$L$17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2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191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27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419100" cy="419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4191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2" customWidth="1" min="16" max="16"/>
  </cols>
  <sheetData>
    <row r="1" ht="52" customHeight="1">
      <c r="A1" s="1" t="n"/>
      <c r="B1" s="2" t="inlineStr">
        <is>
          <t>THE PURPLE PORTFOLIO  |  2025 BUDGET PLANNER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2" customHeight="1">
      <c r="A2" s="3" t="inlineStr">
        <is>
          <t>Planner answers auto-populate this sheet. Override any cell freely to personalise.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 ht="34" customHeight="1">
      <c r="A3" s="5" t="inlineStr">
        <is>
          <t>LIFE STAGE</t>
        </is>
      </c>
      <c r="B3" s="6" t="n"/>
      <c r="C3" s="7" t="inlineStr">
        <is>
          <t>Student</t>
        </is>
      </c>
      <c r="D3" s="6" t="n"/>
      <c r="G3" s="6" t="n"/>
      <c r="H3" s="5" t="inlineStr">
        <is>
          <t>BIRTH YEAR</t>
        </is>
      </c>
      <c r="I3" s="7" t="n">
        <v>2000</v>
      </c>
      <c r="J3" s="6" t="n"/>
      <c r="K3" s="8" t="inlineStr">
        <is>
          <t>✓ PLANNER SYNC ACTIVE — override any cell to customise</t>
        </is>
      </c>
      <c r="P3" s="9">
        <f>IFERROR(MATCH(C3,{"Student","Young Professional","Family","Mid-Career","Retirement"},0),1)</f>
        <v/>
      </c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32" customHeight="1">
      <c r="A5" s="10" t="inlineStr">
        <is>
          <t>CATEGORY</t>
        </is>
      </c>
      <c r="B5" s="11" t="inlineStr"/>
      <c r="C5" s="12" t="inlineStr">
        <is>
          <t>JAN</t>
        </is>
      </c>
      <c r="D5" s="12" t="inlineStr">
        <is>
          <t>FEB</t>
        </is>
      </c>
      <c r="E5" s="12" t="inlineStr">
        <is>
          <t>MAR</t>
        </is>
      </c>
      <c r="F5" s="12" t="inlineStr">
        <is>
          <t>APR</t>
        </is>
      </c>
      <c r="G5" s="12" t="inlineStr">
        <is>
          <t>MAY</t>
        </is>
      </c>
      <c r="H5" s="12" t="inlineStr">
        <is>
          <t>JUN</t>
        </is>
      </c>
      <c r="I5" s="12" t="inlineStr">
        <is>
          <t>JUL</t>
        </is>
      </c>
      <c r="J5" s="12" t="inlineStr">
        <is>
          <t>AUG</t>
        </is>
      </c>
      <c r="K5" s="12" t="inlineStr">
        <is>
          <t>SEP</t>
        </is>
      </c>
      <c r="L5" s="12" t="inlineStr">
        <is>
          <t>OCT</t>
        </is>
      </c>
      <c r="M5" s="12" t="inlineStr">
        <is>
          <t>NOV</t>
        </is>
      </c>
      <c r="N5" s="12" t="inlineStr">
        <is>
          <t>DEC</t>
        </is>
      </c>
      <c r="O5" s="13" t="inlineStr">
        <is>
          <t>ANNUAL</t>
        </is>
      </c>
      <c r="P5" s="1" t="n"/>
    </row>
    <row r="6">
      <c r="A6" s="14" t="inlineStr">
        <is>
          <t xml:space="preserve">  ▶  INCOME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6" t="n"/>
    </row>
    <row r="7" ht="36" customHeight="1">
      <c r="A7" s="17">
        <f>CHOOSE($P$3,"Part-time / OSAP","Salary / Wages","Primary Salary","Primary Salary","CPP")</f>
        <v/>
      </c>
      <c r="B7" s="18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20">
        <f>SUM(C7:N7)</f>
        <v/>
      </c>
    </row>
    <row r="8" ht="36" customHeight="1">
      <c r="A8" s="21">
        <f>CHOOSE($P$3,"Bursaries / Grants","Side Income / Freelance","Partner Salary","Bonus / Commission","OAS / GIS")</f>
        <v/>
      </c>
      <c r="B8" s="22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4">
        <f>SUM(C8:N8)</f>
        <v/>
      </c>
    </row>
    <row r="9" ht="36" customHeight="1">
      <c r="A9" s="17">
        <f>CHOOSE($P$3,"Other Income","Investment Income","Child Benefits (CCB)","Rental Income","RRIF Withdrawals")</f>
        <v/>
      </c>
      <c r="B9" s="18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20">
        <f>SUM(C9:N9)</f>
        <v/>
      </c>
    </row>
    <row r="10" ht="36" customHeight="1">
      <c r="A10" s="21">
        <f>CHOOSE($P$3,"","Other Income","Investment Income","Investment / Dividends","Investment Dividends / Income")</f>
        <v/>
      </c>
      <c r="B10" s="22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4">
        <f>SUM(C10:N10)</f>
        <v/>
      </c>
    </row>
    <row r="11" ht="36" customHeight="1">
      <c r="A11" s="17">
        <f>CHOOSE($P$3,"","","Other","Business Income","Pension")</f>
        <v/>
      </c>
      <c r="B11" s="18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20">
        <f>SUM(C11:N11)</f>
        <v/>
      </c>
    </row>
    <row r="12" ht="36" customHeight="1">
      <c r="A12" s="21">
        <f>CHOOSE($P$3,"","","","Other","Other")</f>
        <v/>
      </c>
      <c r="B12" s="22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4">
        <f>SUM(C12:N12)</f>
        <v/>
      </c>
    </row>
    <row r="13" ht="36" customHeight="1">
      <c r="A13" s="25" t="inlineStr">
        <is>
          <t>TOTAL INCOME</t>
        </is>
      </c>
      <c r="B13" s="26" t="n"/>
      <c r="C13" s="27">
        <f>SUM(C7:C12)</f>
        <v/>
      </c>
      <c r="D13" s="27">
        <f>SUM(D7:D12)</f>
        <v/>
      </c>
      <c r="E13" s="27">
        <f>SUM(E7:E12)</f>
        <v/>
      </c>
      <c r="F13" s="27">
        <f>SUM(F7:F12)</f>
        <v/>
      </c>
      <c r="G13" s="27">
        <f>SUM(G7:G12)</f>
        <v/>
      </c>
      <c r="H13" s="27">
        <f>SUM(H7:H12)</f>
        <v/>
      </c>
      <c r="I13" s="27">
        <f>SUM(I7:I12)</f>
        <v/>
      </c>
      <c r="J13" s="27">
        <f>SUM(J7:J12)</f>
        <v/>
      </c>
      <c r="K13" s="27">
        <f>SUM(K7:K12)</f>
        <v/>
      </c>
      <c r="L13" s="27">
        <f>SUM(L7:L12)</f>
        <v/>
      </c>
      <c r="M13" s="27">
        <f>SUM(M7:M12)</f>
        <v/>
      </c>
      <c r="N13" s="27">
        <f>SUM(N7:N12)</f>
        <v/>
      </c>
      <c r="O13" s="28">
        <f>SUM(C13:N13)</f>
        <v/>
      </c>
    </row>
    <row r="15">
      <c r="A15" s="14" t="inlineStr">
        <is>
          <t xml:space="preserve">  ▶  EXPENSES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6" t="n"/>
    </row>
    <row r="16" ht="36" customHeight="1">
      <c r="A16" s="29">
        <f>CHOOSE($P$3,"Rent / Housing","Rent / Mortgage","Mortgage / Rent","Mortgage","Housing / Maintenance")</f>
        <v/>
      </c>
      <c r="B16" s="30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2">
        <f>SUM(C16:N16)</f>
        <v/>
      </c>
    </row>
    <row r="17" ht="36" customHeight="1">
      <c r="A17" s="21">
        <f>CHOOSE($P$3,"Groceries","Groceries","Childcare / School","Property Tax","Healthcare / Prescriptions")</f>
        <v/>
      </c>
      <c r="B17" s="22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4">
        <f>SUM(C17:N17)</f>
        <v/>
      </c>
    </row>
    <row r="18" ht="36" customHeight="1">
      <c r="A18" s="29">
        <f>CHOOSE($P$3,"Phone / Internet","Transportation","Groceries","Travel / Leisure","Travel / Leisure")</f>
        <v/>
      </c>
      <c r="B18" s="30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2">
        <f>SUM(C18:N18)</f>
        <v/>
      </c>
    </row>
    <row r="19" ht="36" customHeight="1">
      <c r="A19" s="21">
        <f>CHOOSE($P$3,"Transportation","Phone / Internet","Transportation","Insurance (Life/Property)","Groceries")</f>
        <v/>
      </c>
      <c r="B19" s="22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4">
        <f>SUM(C19:N19)</f>
        <v/>
      </c>
    </row>
    <row r="20" ht="36" customHeight="1">
      <c r="A20" s="29">
        <f>CHOOSE($P$3,"Tuition / Books","Dining / Social","Utilities","Healthcare / Dental","Utilities")</f>
        <v/>
      </c>
      <c r="B20" s="30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2">
        <f>SUM(C20:N20)</f>
        <v/>
      </c>
    </row>
    <row r="21" ht="36" customHeight="1">
      <c r="A21" s="21">
        <f>CHOOSE($P$3,"Student Loan Payment","Subscriptions","Insurance (Life/Health)","Dining / Entertainment","Insurance")</f>
        <v/>
      </c>
      <c r="B21" s="22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4">
        <f>SUM(C21:N21)</f>
        <v/>
      </c>
    </row>
    <row r="22" ht="36" customHeight="1">
      <c r="A22" s="29">
        <f>CHOOSE($P$3,"Entertainment","Health / Fitness","Travel / Activities","Subscriptions","Estate / Legal Fees")</f>
        <v/>
      </c>
      <c r="B22" s="30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2">
        <f>SUM(C22:N22)</f>
        <v/>
      </c>
    </row>
    <row r="23" ht="36" customHeight="1">
      <c r="A23" s="21">
        <f>CHOOSE($P$3,"","Savings","Subscriptions","Children's Education","Charitable Giving")</f>
        <v/>
      </c>
      <c r="B23" s="22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4">
        <f>SUM(C23:N23)</f>
        <v/>
      </c>
    </row>
    <row r="24" ht="36" customHeight="1">
      <c r="A24" s="29">
        <f>CHOOSE($P$3,"","","Healthcare","Charitable Giving","")</f>
        <v/>
      </c>
      <c r="B24" s="30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2">
        <f>SUM(C24:N24)</f>
        <v/>
      </c>
    </row>
    <row r="25" ht="36" customHeight="1">
      <c r="A25" s="25" t="inlineStr">
        <is>
          <t>TOTAL EXPENSES</t>
        </is>
      </c>
      <c r="B25" s="26" t="n"/>
      <c r="C25" s="27">
        <f>SUM(C16:C24)</f>
        <v/>
      </c>
      <c r="D25" s="27">
        <f>SUM(D16:D24)</f>
        <v/>
      </c>
      <c r="E25" s="27">
        <f>SUM(E16:E24)</f>
        <v/>
      </c>
      <c r="F25" s="27">
        <f>SUM(F16:F24)</f>
        <v/>
      </c>
      <c r="G25" s="27">
        <f>SUM(G16:G24)</f>
        <v/>
      </c>
      <c r="H25" s="27">
        <f>SUM(H16:H24)</f>
        <v/>
      </c>
      <c r="I25" s="27">
        <f>SUM(I16:I24)</f>
        <v/>
      </c>
      <c r="J25" s="27">
        <f>SUM(J16:J24)</f>
        <v/>
      </c>
      <c r="K25" s="27">
        <f>SUM(K16:K24)</f>
        <v/>
      </c>
      <c r="L25" s="27">
        <f>SUM(L16:L24)</f>
        <v/>
      </c>
      <c r="M25" s="27">
        <f>SUM(M16:M24)</f>
        <v/>
      </c>
      <c r="N25" s="27">
        <f>SUM(N16:N24)</f>
        <v/>
      </c>
      <c r="O25" s="28">
        <f>SUM(C25:N25)</f>
        <v/>
      </c>
    </row>
    <row r="27">
      <c r="A27" s="14" t="inlineStr">
        <is>
          <t xml:space="preserve">  ▶  INVESTMENTS &amp; SAVINGS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6" t="n"/>
    </row>
    <row r="28" ht="36" customHeight="1">
      <c r="A28" s="33">
        <f>CHOOSE($P$3,"TFSA","TFSA","RRSP","RRSP","RRIF")</f>
        <v/>
      </c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6">
        <f>SUM(C28:N28)</f>
        <v/>
      </c>
    </row>
    <row r="29" ht="36" customHeight="1">
      <c r="A29" s="21">
        <f>CHOOSE($P$3,"FHSA","FHSA","TFSA","TFSA","TFSA")</f>
        <v/>
      </c>
      <c r="B29" s="22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4">
        <f>SUM(C29:N29)</f>
        <v/>
      </c>
    </row>
    <row r="30" ht="36" customHeight="1">
      <c r="A30" s="33">
        <f>CHOOSE($P$3,"Emergency Fund","RRSP","RESP","Non-Registered","Non-Registered")</f>
        <v/>
      </c>
      <c r="B30" s="34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6">
        <f>SUM(C30:N30)</f>
        <v/>
      </c>
    </row>
    <row r="31" ht="36" customHeight="1">
      <c r="A31" s="21">
        <f>CHOOSE($P$3,"","Emergency Fund","Non-Registered","Real Estate","Charitable Giving")</f>
        <v/>
      </c>
      <c r="B31" s="22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4">
        <f>SUM(C31:N31)</f>
        <v/>
      </c>
    </row>
    <row r="32" ht="36" customHeight="1">
      <c r="A32" s="33">
        <f>CHOOSE($P$3,"","","Emergency Fund","Business Investments","")</f>
        <v/>
      </c>
      <c r="B32" s="34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6">
        <f>SUM(C32:N32)</f>
        <v/>
      </c>
    </row>
    <row r="33" ht="36" customHeight="1">
      <c r="A33" s="21">
        <f>CHOOSE($P$3,"","","","Emergency Fund","")</f>
        <v/>
      </c>
      <c r="B33" s="22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4">
        <f>SUM(C33:N33)</f>
        <v/>
      </c>
    </row>
    <row r="34" ht="36" customHeight="1">
      <c r="A34" s="25" t="inlineStr">
        <is>
          <t>TOTAL INVESTMENTS</t>
        </is>
      </c>
      <c r="B34" s="26" t="n"/>
      <c r="C34" s="27">
        <f>SUM(C28:C33)</f>
        <v/>
      </c>
      <c r="D34" s="27">
        <f>SUM(D28:D33)</f>
        <v/>
      </c>
      <c r="E34" s="27">
        <f>SUM(E28:E33)</f>
        <v/>
      </c>
      <c r="F34" s="27">
        <f>SUM(F28:F33)</f>
        <v/>
      </c>
      <c r="G34" s="27">
        <f>SUM(G28:G33)</f>
        <v/>
      </c>
      <c r="H34" s="27">
        <f>SUM(H28:H33)</f>
        <v/>
      </c>
      <c r="I34" s="27">
        <f>SUM(I28:I33)</f>
        <v/>
      </c>
      <c r="J34" s="27">
        <f>SUM(J28:J33)</f>
        <v/>
      </c>
      <c r="K34" s="27">
        <f>SUM(K28:K33)</f>
        <v/>
      </c>
      <c r="L34" s="27">
        <f>SUM(L28:L33)</f>
        <v/>
      </c>
      <c r="M34" s="27">
        <f>SUM(M28:M33)</f>
        <v/>
      </c>
      <c r="N34" s="27">
        <f>SUM(N28:N33)</f>
        <v/>
      </c>
      <c r="O34" s="28">
        <f>SUM(C34:N34)</f>
        <v/>
      </c>
    </row>
    <row r="36" ht="42" customHeight="1">
      <c r="A36" s="37" t="inlineStr">
        <is>
          <t>NET CASH FLOW</t>
        </is>
      </c>
      <c r="B36" s="38" t="n"/>
      <c r="C36" s="39">
        <f>C13-C25-C34</f>
        <v/>
      </c>
      <c r="D36" s="39">
        <f>D13-D25-D34</f>
        <v/>
      </c>
      <c r="E36" s="39">
        <f>E13-E25-E34</f>
        <v/>
      </c>
      <c r="F36" s="39">
        <f>F13-F25-F34</f>
        <v/>
      </c>
      <c r="G36" s="39">
        <f>G13-G25-G34</f>
        <v/>
      </c>
      <c r="H36" s="39">
        <f>H13-H25-H34</f>
        <v/>
      </c>
      <c r="I36" s="39">
        <f>I13-I25-I34</f>
        <v/>
      </c>
      <c r="J36" s="39">
        <f>J13-J25-J34</f>
        <v/>
      </c>
      <c r="K36" s="39">
        <f>K13-K25-K34</f>
        <v/>
      </c>
      <c r="L36" s="39">
        <f>L13-L25-L34</f>
        <v/>
      </c>
      <c r="M36" s="39">
        <f>M13-M25-M34</f>
        <v/>
      </c>
      <c r="N36" s="39">
        <f>N13-N25-N34</f>
        <v/>
      </c>
      <c r="O36" s="40">
        <f>O13-O25-O34</f>
        <v/>
      </c>
    </row>
    <row r="38" ht="24" customHeight="1">
      <c r="A38" s="41" t="inlineStr">
        <is>
          <t>⟵  PLANNER SYNC — Fields below are auto-loaded from the Planner tab. Override freely.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</row>
    <row r="39" ht="28" customHeight="1">
      <c r="A39" s="42" t="inlineStr">
        <is>
          <t>Monthly Income</t>
        </is>
      </c>
      <c r="B39" s="43" t="n"/>
      <c r="E39" s="44">
        <f>O13/12</f>
        <v/>
      </c>
    </row>
    <row r="40" ht="28" customHeight="1">
      <c r="A40" s="42" t="inlineStr">
        <is>
          <t>Monthly Expenses</t>
        </is>
      </c>
      <c r="B40" s="43" t="n"/>
      <c r="E40" s="44">
        <f>O25/12</f>
        <v/>
      </c>
    </row>
    <row r="41" ht="28" customHeight="1">
      <c r="A41" s="42" t="inlineStr">
        <is>
          <t>Monthly Savings</t>
        </is>
      </c>
      <c r="B41" s="43" t="n"/>
      <c r="E41" s="44">
        <f>O34/12</f>
        <v/>
      </c>
    </row>
    <row r="42" ht="28" customHeight="1">
      <c r="A42" s="42" t="inlineStr">
        <is>
          <t>Life Stage</t>
        </is>
      </c>
      <c r="B42" s="43" t="n"/>
      <c r="E42" s="45">
        <f>C3</f>
        <v/>
      </c>
    </row>
  </sheetData>
  <mergeCells count="12">
    <mergeCell ref="A15:O15"/>
    <mergeCell ref="K3:O3"/>
    <mergeCell ref="B42:D42"/>
    <mergeCell ref="A38:O38"/>
    <mergeCell ref="A2:O2"/>
    <mergeCell ref="B1:N1"/>
    <mergeCell ref="B41:D41"/>
    <mergeCell ref="B40:D40"/>
    <mergeCell ref="D3:F3"/>
    <mergeCell ref="A27:O27"/>
    <mergeCell ref="A6:O6"/>
    <mergeCell ref="B39:D39"/>
  </mergeCells>
  <dataValidations count="1">
    <dataValidation sqref="C3" showDropDown="0" showInputMessage="0" showErrorMessage="0" allowBlank="0" type="list">
      <formula1>"Student,Young Professional,Family,Mid-Career,Retirement"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52" customHeight="1">
      <c r="A1" s="1" t="n"/>
      <c r="B1" s="2" t="inlineStr">
        <is>
          <t>THE PURPLE PORTFOLIO  |  FUTURE YEAR PROJECTIONS</t>
        </is>
      </c>
      <c r="C1" s="1" t="n"/>
      <c r="D1" s="1" t="n"/>
      <c r="E1" s="1" t="n"/>
      <c r="F1" s="1" t="n"/>
      <c r="G1" s="1" t="n"/>
      <c r="H1" s="1" t="n"/>
    </row>
    <row r="2" ht="22" customHeight="1">
      <c r="A2" s="3" t="inlineStr">
        <is>
          <t>Project finances forward. Adjust % changes or hard-code any projected value directly.</t>
        </is>
      </c>
      <c r="B2" s="4" t="n"/>
      <c r="C2" s="4" t="n"/>
      <c r="D2" s="4" t="n"/>
      <c r="E2" s="4" t="n"/>
      <c r="F2" s="4" t="n"/>
      <c r="G2" s="4" t="n"/>
      <c r="H2" s="4" t="n"/>
    </row>
    <row r="3" ht="34" customHeight="1">
      <c r="A3" s="5" t="inlineStr">
        <is>
          <t>PROJECTED YEAR</t>
        </is>
      </c>
      <c r="B3" s="7" t="n">
        <v>2026</v>
      </c>
      <c r="C3" s="5" t="inlineStr">
        <is>
          <t>AUTO LIFE STAGE →</t>
        </is>
      </c>
      <c r="D3" s="7">
        <f>IF('2025 Budget'!I3="","—",IF(B3-'2025 Budget'!I3&lt;25,"Student",IF(B3-'2025 Budget'!I3&lt;35,"Young Professional",IF(B3-'2025 Budget'!I3&lt;50,"Family",IF(B3-'2025 Budget'!I3&lt;65,"Mid-Career","Retirement")))))</f>
        <v/>
      </c>
      <c r="E3" s="46" t="n"/>
      <c r="F3" s="6" t="n"/>
      <c r="G3" s="6" t="n"/>
      <c r="H3" s="6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32" customHeight="1">
      <c r="A5" s="14" t="inlineStr">
        <is>
          <t xml:space="preserve">  ▶  YEAR-OVER-YEAR % CHANGE ASSUMPTIONS</t>
        </is>
      </c>
      <c r="B5" s="15" t="n"/>
      <c r="C5" s="15" t="n"/>
      <c r="D5" s="15" t="n"/>
      <c r="E5" s="15" t="n"/>
      <c r="F5" s="15" t="n"/>
      <c r="G5" s="15" t="n"/>
      <c r="H5" s="16" t="n"/>
    </row>
    <row r="6" ht="28" customHeight="1">
      <c r="A6" s="47" t="inlineStr">
        <is>
          <t>Category</t>
        </is>
      </c>
      <c r="B6" s="47" t="inlineStr">
        <is>
          <t>YoY % Change</t>
        </is>
      </c>
      <c r="C6" s="47" t="inlineStr">
        <is>
          <t>Override ($)</t>
        </is>
      </c>
      <c r="D6" s="47" t="inlineStr">
        <is>
          <t>Use Override?</t>
        </is>
      </c>
      <c r="E6" s="47" t="inlineStr">
        <is>
          <t>2025 Actual</t>
        </is>
      </c>
      <c r="F6" s="47" t="inlineStr">
        <is>
          <t>Projected</t>
        </is>
      </c>
      <c r="G6" s="47" t="inlineStr">
        <is>
          <t>Change ($)</t>
        </is>
      </c>
      <c r="H6" s="47" t="inlineStr">
        <is>
          <t>Notes</t>
        </is>
      </c>
    </row>
    <row r="7" ht="36" customHeight="1">
      <c r="A7" s="21" t="inlineStr">
        <is>
          <t>Total Income</t>
        </is>
      </c>
      <c r="B7" s="48" t="n">
        <v>0.04</v>
      </c>
      <c r="C7" s="49" t="n"/>
      <c r="D7" s="50" t="inlineStr">
        <is>
          <t>N</t>
        </is>
      </c>
      <c r="E7" s="23">
        <f>'2025 Budget'!O13</f>
        <v/>
      </c>
      <c r="F7" s="51">
        <f>IF(D7="Y",C7,E7*(1+B7)^(B3-2025))</f>
        <v/>
      </c>
      <c r="G7" s="52">
        <f>F7-E7</f>
        <v/>
      </c>
      <c r="H7" s="53" t="inlineStr">
        <is>
          <t>Income grows with career stage</t>
        </is>
      </c>
    </row>
    <row r="8" ht="36" customHeight="1">
      <c r="A8" s="17" t="inlineStr">
        <is>
          <t>Total Expenses</t>
        </is>
      </c>
      <c r="B8" s="54" t="n">
        <v>0.03</v>
      </c>
      <c r="C8" s="49" t="n"/>
      <c r="D8" s="55" t="inlineStr">
        <is>
          <t>N</t>
        </is>
      </c>
      <c r="E8" s="19">
        <f>'2025 Budget'!O25</f>
        <v/>
      </c>
      <c r="F8" s="56">
        <f>IF(D8="Y",C8,E8*(1+B8)^(B3-2025))</f>
        <v/>
      </c>
      <c r="G8" s="57">
        <f>F8-E8</f>
        <v/>
      </c>
      <c r="H8" s="58" t="inlineStr">
        <is>
          <t>CPI + lifestyle inflation</t>
        </is>
      </c>
    </row>
    <row r="9" ht="36" customHeight="1">
      <c r="A9" s="21" t="inlineStr">
        <is>
          <t>Total Investments</t>
        </is>
      </c>
      <c r="B9" s="48" t="n">
        <v>0.05</v>
      </c>
      <c r="C9" s="49" t="n"/>
      <c r="D9" s="50" t="inlineStr">
        <is>
          <t>N</t>
        </is>
      </c>
      <c r="E9" s="23">
        <f>'2025 Budget'!O34</f>
        <v/>
      </c>
      <c r="F9" s="51">
        <f>IF(D9="Y",C9,E9*(1+B9)^(B3-2025))</f>
        <v/>
      </c>
      <c r="G9" s="52">
        <f>F9-E9</f>
        <v/>
      </c>
      <c r="H9" s="53" t="inlineStr">
        <is>
          <t>Increasing contributions</t>
        </is>
      </c>
    </row>
    <row r="10" ht="36" customHeight="1">
      <c r="A10" s="17" t="inlineStr">
        <is>
          <t>Net Cash Flow</t>
        </is>
      </c>
      <c r="B10" s="54" t="n">
        <v>0.02</v>
      </c>
      <c r="C10" s="49" t="n"/>
      <c r="D10" s="55" t="inlineStr">
        <is>
          <t>N</t>
        </is>
      </c>
      <c r="E10" s="19">
        <f>'2025 Budget'!O36</f>
        <v/>
      </c>
      <c r="F10" s="56">
        <f>IF(D10="Y",C10,E10*(1+B10)^(B3-2025))</f>
        <v/>
      </c>
      <c r="G10" s="57">
        <f>F10-E10</f>
        <v/>
      </c>
      <c r="H10" s="58" t="inlineStr">
        <is>
          <t>Income − expenses − investments</t>
        </is>
      </c>
    </row>
    <row r="11" ht="10" customHeight="1"/>
    <row r="12">
      <c r="A12" s="14" t="inlineStr">
        <is>
          <t xml:space="preserve">  ▶  MULTI-YEAR FINANCIAL PROJECTION  (2025 – 2035)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 ht="28" customHeight="1">
      <c r="A13" s="47" t="inlineStr">
        <is>
          <t>Category</t>
        </is>
      </c>
      <c r="B13" s="59" t="inlineStr">
        <is>
          <t>2025</t>
        </is>
      </c>
      <c r="C13" s="59" t="inlineStr">
        <is>
          <t>2026</t>
        </is>
      </c>
      <c r="D13" s="59" t="inlineStr">
        <is>
          <t>2027</t>
        </is>
      </c>
      <c r="E13" s="59" t="inlineStr">
        <is>
          <t>2028</t>
        </is>
      </c>
      <c r="F13" s="59" t="inlineStr">
        <is>
          <t>2029</t>
        </is>
      </c>
      <c r="G13" s="59" t="inlineStr">
        <is>
          <t>2030</t>
        </is>
      </c>
      <c r="H13" s="59" t="inlineStr">
        <is>
          <t>2031</t>
        </is>
      </c>
      <c r="I13" s="59" t="inlineStr">
        <is>
          <t>2032</t>
        </is>
      </c>
      <c r="J13" s="59" t="inlineStr">
        <is>
          <t>2033</t>
        </is>
      </c>
      <c r="K13" s="59" t="inlineStr">
        <is>
          <t>2034</t>
        </is>
      </c>
      <c r="L13" s="59" t="inlineStr">
        <is>
          <t>2035</t>
        </is>
      </c>
    </row>
    <row r="14" ht="34" customHeight="1">
      <c r="A14" s="60" t="inlineStr">
        <is>
          <t>Income</t>
        </is>
      </c>
      <c r="B14" s="61">
        <f>'2025 Budget'!O13</f>
        <v/>
      </c>
      <c r="C14" s="61">
        <f>B14*(1+B7)^1</f>
        <v/>
      </c>
      <c r="D14" s="61">
        <f>B14*(1+B7)^2</f>
        <v/>
      </c>
      <c r="E14" s="61">
        <f>B14*(1+B7)^3</f>
        <v/>
      </c>
      <c r="F14" s="61">
        <f>B14*(1+B7)^4</f>
        <v/>
      </c>
      <c r="G14" s="61">
        <f>B14*(1+B7)^5</f>
        <v/>
      </c>
      <c r="H14" s="61">
        <f>B14*(1+B7)^6</f>
        <v/>
      </c>
      <c r="I14" s="61">
        <f>B14*(1+B7)^7</f>
        <v/>
      </c>
      <c r="J14" s="61">
        <f>B14*(1+B7)^8</f>
        <v/>
      </c>
      <c r="K14" s="61">
        <f>B14*(1+B7)^9</f>
        <v/>
      </c>
      <c r="L14" s="62">
        <f>B14*(1+B7)^10</f>
        <v/>
      </c>
    </row>
    <row r="15" ht="34" customHeight="1">
      <c r="A15" s="63" t="inlineStr">
        <is>
          <t>Expenses</t>
        </is>
      </c>
      <c r="B15" s="64">
        <f>'2025 Budget'!O25</f>
        <v/>
      </c>
      <c r="C15" s="64">
        <f>B15*(1+B8)^1</f>
        <v/>
      </c>
      <c r="D15" s="64">
        <f>B15*(1+B8)^2</f>
        <v/>
      </c>
      <c r="E15" s="64">
        <f>B15*(1+B8)^3</f>
        <v/>
      </c>
      <c r="F15" s="64">
        <f>B15*(1+B8)^4</f>
        <v/>
      </c>
      <c r="G15" s="64">
        <f>B15*(1+B8)^5</f>
        <v/>
      </c>
      <c r="H15" s="64">
        <f>B15*(1+B8)^6</f>
        <v/>
      </c>
      <c r="I15" s="64">
        <f>B15*(1+B8)^7</f>
        <v/>
      </c>
      <c r="J15" s="64">
        <f>B15*(1+B8)^8</f>
        <v/>
      </c>
      <c r="K15" s="64">
        <f>B15*(1+B8)^9</f>
        <v/>
      </c>
      <c r="L15" s="65">
        <f>B15*(1+B8)^10</f>
        <v/>
      </c>
    </row>
    <row r="16" ht="34" customHeight="1">
      <c r="A16" s="66" t="inlineStr">
        <is>
          <t>Investments</t>
        </is>
      </c>
      <c r="B16" s="67">
        <f>'2025 Budget'!O34</f>
        <v/>
      </c>
      <c r="C16" s="67">
        <f>B16*(1+B9)^1</f>
        <v/>
      </c>
      <c r="D16" s="67">
        <f>B16*(1+B9)^2</f>
        <v/>
      </c>
      <c r="E16" s="67">
        <f>B16*(1+B9)^3</f>
        <v/>
      </c>
      <c r="F16" s="67">
        <f>B16*(1+B9)^4</f>
        <v/>
      </c>
      <c r="G16" s="67">
        <f>B16*(1+B9)^5</f>
        <v/>
      </c>
      <c r="H16" s="67">
        <f>B16*(1+B9)^6</f>
        <v/>
      </c>
      <c r="I16" s="67">
        <f>B16*(1+B9)^7</f>
        <v/>
      </c>
      <c r="J16" s="67">
        <f>B16*(1+B9)^8</f>
        <v/>
      </c>
      <c r="K16" s="67">
        <f>B16*(1+B9)^9</f>
        <v/>
      </c>
      <c r="L16" s="68">
        <f>B16*(1+B9)^10</f>
        <v/>
      </c>
    </row>
    <row r="17" ht="34" customHeight="1">
      <c r="A17" s="69" t="inlineStr">
        <is>
          <t>Net CF</t>
        </is>
      </c>
      <c r="B17" s="70">
        <f>'2025 Budget'!O36</f>
        <v/>
      </c>
      <c r="C17" s="70">
        <f>B17*(1+B10)^1</f>
        <v/>
      </c>
      <c r="D17" s="70">
        <f>B17*(1+B10)^2</f>
        <v/>
      </c>
      <c r="E17" s="70">
        <f>B17*(1+B10)^3</f>
        <v/>
      </c>
      <c r="F17" s="70">
        <f>B17*(1+B10)^4</f>
        <v/>
      </c>
      <c r="G17" s="70">
        <f>B17*(1+B10)^5</f>
        <v/>
      </c>
      <c r="H17" s="70">
        <f>B17*(1+B10)^6</f>
        <v/>
      </c>
      <c r="I17" s="70">
        <f>B17*(1+B10)^7</f>
        <v/>
      </c>
      <c r="J17" s="70">
        <f>B17*(1+B10)^8</f>
        <v/>
      </c>
      <c r="K17" s="70">
        <f>B17*(1+B10)^9</f>
        <v/>
      </c>
      <c r="L17" s="71">
        <f>B17*(1+B10)^10</f>
        <v/>
      </c>
    </row>
    <row r="18" ht="28" customHeight="1">
      <c r="A18" s="72" t="inlineStr">
        <is>
          <t>Auto Life Stage</t>
        </is>
      </c>
      <c r="B18" s="73">
        <f>IF('2025 Budget'!I3="","—",IF(2025-'2025 Budget'!I3&lt;25,"Student",IF(2025-'2025 Budget'!I3&lt;35,"Young Pro",IF(2025-'2025 Budget'!I3&lt;50,"Family",IF(2025-'2025 Budget'!I3&lt;65,"Mid-Career","Retirement")))))</f>
        <v/>
      </c>
      <c r="C18" s="73">
        <f>IF('2025 Budget'!I3="","—",IF(2026-'2025 Budget'!I3&lt;25,"Student",IF(2026-'2025 Budget'!I3&lt;35,"Young Pro",IF(2026-'2025 Budget'!I3&lt;50,"Family",IF(2026-'2025 Budget'!I3&lt;65,"Mid-Career","Retirement")))))</f>
        <v/>
      </c>
      <c r="D18" s="73">
        <f>IF('2025 Budget'!I3="","—",IF(2027-'2025 Budget'!I3&lt;25,"Student",IF(2027-'2025 Budget'!I3&lt;35,"Young Pro",IF(2027-'2025 Budget'!I3&lt;50,"Family",IF(2027-'2025 Budget'!I3&lt;65,"Mid-Career","Retirement")))))</f>
        <v/>
      </c>
      <c r="E18" s="73">
        <f>IF('2025 Budget'!I3="","—",IF(2028-'2025 Budget'!I3&lt;25,"Student",IF(2028-'2025 Budget'!I3&lt;35,"Young Pro",IF(2028-'2025 Budget'!I3&lt;50,"Family",IF(2028-'2025 Budget'!I3&lt;65,"Mid-Career","Retirement")))))</f>
        <v/>
      </c>
      <c r="F18" s="73">
        <f>IF('2025 Budget'!I3="","—",IF(2029-'2025 Budget'!I3&lt;25,"Student",IF(2029-'2025 Budget'!I3&lt;35,"Young Pro",IF(2029-'2025 Budget'!I3&lt;50,"Family",IF(2029-'2025 Budget'!I3&lt;65,"Mid-Career","Retirement")))))</f>
        <v/>
      </c>
      <c r="G18" s="73">
        <f>IF('2025 Budget'!I3="","—",IF(2030-'2025 Budget'!I3&lt;25,"Student",IF(2030-'2025 Budget'!I3&lt;35,"Young Pro",IF(2030-'2025 Budget'!I3&lt;50,"Family",IF(2030-'2025 Budget'!I3&lt;65,"Mid-Career","Retirement")))))</f>
        <v/>
      </c>
      <c r="H18" s="73">
        <f>IF('2025 Budget'!I3="","—",IF(2031-'2025 Budget'!I3&lt;25,"Student",IF(2031-'2025 Budget'!I3&lt;35,"Young Pro",IF(2031-'2025 Budget'!I3&lt;50,"Family",IF(2031-'2025 Budget'!I3&lt;65,"Mid-Career","Retirement")))))</f>
        <v/>
      </c>
      <c r="I18" s="73">
        <f>IF('2025 Budget'!I3="","—",IF(2032-'2025 Budget'!I3&lt;25,"Student",IF(2032-'2025 Budget'!I3&lt;35,"Young Pro",IF(2032-'2025 Budget'!I3&lt;50,"Family",IF(2032-'2025 Budget'!I3&lt;65,"Mid-Career","Retirement")))))</f>
        <v/>
      </c>
      <c r="J18" s="73">
        <f>IF('2025 Budget'!I3="","—",IF(2033-'2025 Budget'!I3&lt;25,"Student",IF(2033-'2025 Budget'!I3&lt;35,"Young Pro",IF(2033-'2025 Budget'!I3&lt;50,"Family",IF(2033-'2025 Budget'!I3&lt;65,"Mid-Career","Retirement")))))</f>
        <v/>
      </c>
      <c r="K18" s="73">
        <f>IF('2025 Budget'!I3="","—",IF(2034-'2025 Budget'!I3&lt;25,"Student",IF(2034-'2025 Budget'!I3&lt;35,"Young Pro",IF(2034-'2025 Budget'!I3&lt;50,"Family",IF(2034-'2025 Budget'!I3&lt;65,"Mid-Career","Retirement")))))</f>
        <v/>
      </c>
      <c r="L18" s="73">
        <f>IF('2025 Budget'!I3="","—",IF(2035-'2025 Budget'!I3&lt;25,"Student",IF(2035-'2025 Budget'!I3&lt;35,"Young Pro",IF(2035-'2025 Budget'!I3&lt;50,"Family",IF(2035-'2025 Budget'!I3&lt;65,"Mid-Career","Retirement")))))</f>
        <v/>
      </c>
    </row>
    <row r="19" ht="10" customHeight="1"/>
    <row r="20">
      <c r="A20" s="74" t="inlineStr">
        <is>
          <t xml:space="preserve">  ▶  LIFE EVENTS  (one-time adjustments)</t>
        </is>
      </c>
      <c r="B20" s="75" t="n"/>
      <c r="C20" s="75" t="n"/>
      <c r="D20" s="75" t="n"/>
      <c r="E20" s="75" t="n"/>
      <c r="F20" s="75" t="n"/>
      <c r="G20" s="75" t="n"/>
      <c r="H20" s="76" t="n"/>
    </row>
    <row r="21" ht="26" customHeight="1">
      <c r="A21" s="77" t="inlineStr">
        <is>
          <t>Year</t>
        </is>
      </c>
      <c r="B21" s="77" t="inlineStr">
        <is>
          <t>Event</t>
        </is>
      </c>
      <c r="C21" s="77" t="inlineStr">
        <is>
          <t>Income Impact</t>
        </is>
      </c>
      <c r="D21" s="77" t="inlineStr">
        <is>
          <t>Expense Impact</t>
        </is>
      </c>
      <c r="E21" s="77" t="inlineStr">
        <is>
          <t>Notes</t>
        </is>
      </c>
    </row>
    <row r="22" ht="32" customHeight="1">
      <c r="A22" s="78" t="n"/>
      <c r="B22" s="78" t="n"/>
      <c r="C22" s="79" t="n"/>
      <c r="D22" s="79" t="n"/>
      <c r="E22" s="78" t="n"/>
    </row>
    <row r="23" ht="32" customHeight="1">
      <c r="A23" s="80" t="n"/>
      <c r="B23" s="80" t="n"/>
      <c r="C23" s="81" t="n"/>
      <c r="D23" s="81" t="n"/>
      <c r="E23" s="80" t="n"/>
    </row>
    <row r="24" ht="32" customHeight="1">
      <c r="A24" s="78" t="n"/>
      <c r="B24" s="78" t="n"/>
      <c r="C24" s="79" t="n"/>
      <c r="D24" s="79" t="n"/>
      <c r="E24" s="78" t="n"/>
    </row>
    <row r="25" ht="32" customHeight="1">
      <c r="A25" s="80" t="n"/>
      <c r="B25" s="80" t="n"/>
      <c r="C25" s="81" t="n"/>
      <c r="D25" s="81" t="n"/>
      <c r="E25" s="80" t="n"/>
    </row>
    <row r="26" ht="32" customHeight="1">
      <c r="A26" s="78" t="n"/>
      <c r="B26" s="78" t="n"/>
      <c r="C26" s="79" t="n"/>
      <c r="D26" s="79" t="n"/>
      <c r="E26" s="78" t="n"/>
    </row>
  </sheetData>
  <mergeCells count="6">
    <mergeCell ref="A12:H12"/>
    <mergeCell ref="B1:H1"/>
    <mergeCell ref="A20:H20"/>
    <mergeCell ref="A2:H2"/>
    <mergeCell ref="A5:H5"/>
    <mergeCell ref="D3:E3"/>
  </mergeCells>
  <dataValidations count="2">
    <dataValidation sqref="B3" showDropDown="0" showInputMessage="0" showErrorMessage="0" allowBlank="0" type="list">
      <formula1>"2026,2027,2028,2029,2030,2031,2032,2033,2034,2035"</formula1>
    </dataValidation>
    <dataValidation sqref="D7:D10" showDropDown="0" showInputMessage="0" showErrorMessage="0" allowBlank="0" type="list">
      <formula1>"Y,N"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5" customWidth="1" min="3" max="3"/>
    <col width="32" customWidth="1" min="4" max="4"/>
  </cols>
  <sheetData>
    <row r="1" ht="52" customHeight="1">
      <c r="A1" s="1" t="n"/>
      <c r="B1" s="2" t="inlineStr">
        <is>
          <t>LIFE STAGE GUIDE  |  THE PURPLE PORTFOLIO</t>
        </is>
      </c>
      <c r="C1" s="1" t="n"/>
      <c r="D1" s="1" t="n"/>
    </row>
    <row r="2" ht="22" customHeight="1">
      <c r="A2" s="3" t="inlineStr">
        <is>
          <t>Reference guide for budget personalisation and life-stage transitions</t>
        </is>
      </c>
      <c r="B2" s="4" t="n"/>
      <c r="C2" s="4" t="n"/>
      <c r="D2" s="4" t="n"/>
    </row>
    <row r="3" ht="10" customHeight="1">
      <c r="A3" s="1" t="n"/>
      <c r="B3" s="1" t="n"/>
      <c r="C3" s="1" t="n"/>
      <c r="D3" s="1" t="n"/>
    </row>
    <row r="4" ht="32" customHeight="1">
      <c r="A4" s="82" t="inlineStr">
        <is>
          <t>Life Stage</t>
        </is>
      </c>
      <c r="B4" s="82" t="inlineStr">
        <is>
          <t>Key Income Sources</t>
        </is>
      </c>
      <c r="C4" s="82" t="inlineStr">
        <is>
          <t>Key Expenses</t>
        </is>
      </c>
      <c r="D4" s="82" t="inlineStr">
        <is>
          <t>Key Accounts</t>
        </is>
      </c>
    </row>
    <row r="5" ht="72" customHeight="1">
      <c r="A5" s="83" t="inlineStr">
        <is>
          <t>Student</t>
        </is>
      </c>
      <c r="B5" s="84" t="inlineStr">
        <is>
          <t>Part-time work
OSAP / student loans
Bursaries &amp; grants</t>
        </is>
      </c>
      <c r="C5" s="84" t="inlineStr">
        <is>
          <t>Rent, groceries, phone
Tuition &amp; books
Student loan payments</t>
        </is>
      </c>
      <c r="D5" s="84" t="inlineStr">
        <is>
          <t>TFSA, FHSA
Emergency fund</t>
        </is>
      </c>
    </row>
    <row r="6" ht="72" customHeight="1">
      <c r="A6" s="85" t="inlineStr">
        <is>
          <t>Young Professional</t>
        </is>
      </c>
      <c r="B6" s="86" t="inlineStr">
        <is>
          <t>Salary / wages
Side income / freelance
Investment income</t>
        </is>
      </c>
      <c r="C6" s="86" t="inlineStr">
        <is>
          <t>Rent/mortgage, transport
Dining &amp; subscriptions
Health &amp; fitness</t>
        </is>
      </c>
      <c r="D6" s="86" t="inlineStr">
        <is>
          <t>TFSA, FHSA, RRSP</t>
        </is>
      </c>
    </row>
    <row r="7" ht="72" customHeight="1">
      <c r="A7" s="87" t="inlineStr">
        <is>
          <t>Family</t>
        </is>
      </c>
      <c r="B7" s="88" t="inlineStr">
        <is>
          <t>Dual income
Child benefits (CCB)
Investment income</t>
        </is>
      </c>
      <c r="C7" s="88" t="inlineStr">
        <is>
          <t>Mortgage, childcare
Utilities, travel
Insurance</t>
        </is>
      </c>
      <c r="D7" s="88" t="inlineStr">
        <is>
          <t>RRSP, TFSA, RESP
Non-registered</t>
        </is>
      </c>
    </row>
    <row r="8" ht="72" customHeight="1">
      <c r="A8" s="83" t="inlineStr">
        <is>
          <t>Mid-Career</t>
        </is>
      </c>
      <c r="B8" s="84" t="inlineStr">
        <is>
          <t>Peak salary &amp; bonuses
Rental / business income
Investment dividends</t>
        </is>
      </c>
      <c r="C8" s="84" t="inlineStr">
        <is>
          <t>Mortgage, property tax
Travel, insurance
Life insurance premium</t>
        </is>
      </c>
      <c r="D8" s="84" t="inlineStr">
        <is>
          <t>RRSP max, TFSA
Non-reg, real estate
Business investments</t>
        </is>
      </c>
    </row>
    <row r="9" ht="72" customHeight="1">
      <c r="A9" s="85" t="inlineStr">
        <is>
          <t>Retirement</t>
        </is>
      </c>
      <c r="B9" s="86" t="inlineStr">
        <is>
          <t>CPP, OAS, pension
RRIF withdrawals
Investment dividends</t>
        </is>
      </c>
      <c r="C9" s="86" t="inlineStr">
        <is>
          <t>Housing, healthcare
Travel &amp; leisure
Estate / legal fees</t>
        </is>
      </c>
      <c r="D9" s="86" t="inlineStr">
        <is>
          <t>RRIF, TFSA
Non-registered
Charitable giving</t>
        </is>
      </c>
    </row>
  </sheetData>
  <mergeCells count="2">
    <mergeCell ref="B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52" customHeight="1">
      <c r="A1" s="89" t="inlineStr">
        <is>
          <t>🛠  Claude Dev Instructions  |  Purple Portfolio Budget  (FINAL v5)</t>
        </is>
      </c>
      <c r="B1" s="1" t="n"/>
    </row>
    <row r="2" ht="48" customHeight="1">
      <c r="A2" s="90" t="inlineStr">
        <is>
          <t>OVERVIEW</t>
        </is>
      </c>
      <c r="B2" s="91" t="inlineStr">
        <is>
          <t>Purple Portfolio — three core tabs: PLANNER → BUDGET → LIBRARY
The Planner is the ENTRY POINT. The Budget auto-populates FROM the Planner.
Data flow is strictly one-way: Planner writes → Budget reads. Budget never writes back to Planner.</t>
        </is>
      </c>
    </row>
    <row r="3" ht="6" customHeight="1"/>
    <row r="4" ht="112" customHeight="1">
      <c r="A4" s="90" t="inlineStr">
        <is>
          <t>DATA FLOW</t>
        </is>
      </c>
      <c r="B4" s="91" t="inlineStr">
        <is>
          <t>1. User completes PLANNER tab (income, expenses, goals, life stage, birth year).
2. Planner stores to localStorage:
     budget_monthly_income | budget_monthly_expenses | budget_monthly_savings
     budget_life_stage | budget_birth_year
3. On Budget tab mount: read localStorage, pre-fill matching rows.
4. Show a dismissible banner: '✓ Planner data loaded — override any field to customise'
5. User overrides stay only in Budget. If Planner is updated, a 'Refresh from Planner' button re-syncs.</t>
        </is>
      </c>
    </row>
    <row r="5" ht="6" customHeight="1"/>
    <row r="6" ht="96" customHeight="1">
      <c r="A6" s="90" t="inlineStr">
        <is>
          <t>EXCEL EXPORT</t>
        </is>
      </c>
      <c r="B6" s="91" t="inlineStr">
        <is>
          <t>Include a prominent Export to Excel button (top-right of Budget tab).
Use SheetJS (client-side, no server needed).
Export filename: PurplePortfolio_Budget_[Year].xlsx
Export 3 sheets: '2025 Budget', 'Future Year', 'Life Stage Guide'.
Match styling: dark purple headers, gold text, ivy green net cash flow row.
Both paths must work: use website OR download Excel — same data, different format.</t>
        </is>
      </c>
    </row>
    <row r="7" ht="6" customHeight="1"/>
    <row r="8" ht="128" customHeight="1">
      <c r="A8" s="90" t="inlineStr">
        <is>
          <t>BUDGET TAB LAYOUT</t>
        </is>
      </c>
      <c r="B8" s="91" t="inlineStr">
        <is>
          <t>Desktop-first (min-width 1280px). Mobile is secondary (collapsible months).
Header: Logo (top-left, 44px), Title, Life Stage dropdown, Birth Year input.
No sticky/frozen panes — user scrolls through the full budget.
Stacked vertically: INCOME → EXPENSES → INVESTMENTS → NET CASH FLOW.
Columns: Category | Jan | Feb | Mar | Apr | May | Jun | Jul | Aug | Sep | Oct | Nov | Dec | Annual
Input cells: large (min 48px row height, 100px col width, 16px font).
Annual column: auto-sum of Jan-Dec (read-only, styled differently).
Net Cash Flow row: Income − Expenses − Investments. Ivy green background, white text.</t>
        </is>
      </c>
    </row>
    <row r="9" ht="6" customHeight="1"/>
    <row r="10" ht="192" customHeight="1">
      <c r="A10" s="90" t="inlineStr">
        <is>
          <t>LIFE STAGE FILTER</t>
        </is>
      </c>
      <c r="B10" s="91" t="inlineStr">
        <is>
          <t>Dropdown with 5 options: Student | Young Professional | Family | Mid-Career | Retirement
THIS IS A TEMPLATE SWAP — not a cosmetic label change.
Changing life stage replaces the entire set of row labels AND row count for Income, Expenses, Investments.
Show a confirm dialog before switching ('Switch life stage? Your entered amounts will be kept, labels will update.')
Complexity scales up with life stage:
  Student: 3 income rows, 7 expense rows, 3 investment rows (simple, clean)
  Young Pro: 4 income, 8 expense, 4 investment
  Family: 5 income, 9 expense, 5 investment
  Mid-Career: 6 income, 9 expense, 6 investment (capital-returning assets, rental, business)
  Retirement: 6 income, 8 expense, 4 investment (CPP, OAS, RRIF, dividends)
Include a '+ Add row' button at the bottom of each section to let users add custom rows.
See Life Stage Guide sheet for exact row labels per stage.</t>
        </is>
      </c>
    </row>
    <row r="11" ht="6" customHeight="1"/>
    <row r="12" ht="304" customHeight="1">
      <c r="A12" s="90" t="inlineStr">
        <is>
          <t>STAGE ROW LABELS</t>
        </is>
      </c>
      <c r="B12" s="91" t="inlineStr">
        <is>
          <t>STUDENT — Income: Part-time/OSAP, Bursaries/Grants, Other
         Expenses: Rent/Housing, Groceries, Phone/Internet, Transportation, Tuition/Books, Student Loan, Entertainment
         Invest: TFSA, FHSA, Emergency Fund
YOUNG PRO — Income: Salary, Side Income, Investment Income, Other
            Expenses: Rent/Mortgage, Groceries, Transportation, Phone/Internet, Dining/Social, Subscriptions, Health/Fitness, Savings
            Invest: TFSA, FHSA, RRSP, Emergency Fund
FAMILY — Income: Primary Salary, Partner Salary, CCB, Investment Income, Other
         Expenses: Mortgage/Rent, Childcare/School, Groceries, Transportation, Utilities, Insurance, Travel/Activities, Subscriptions, Healthcare
         Invest: RRSP, TFSA, RESP, Non-Registered, Emergency Fund
MID-CAREER — Income: Salary, Bonus/Commission, Rental Income, Dividends, Business Income, Other
             Expenses: Mortgage, Property Tax, Travel/Leisure, Insurance, Healthcare, Dining, Subscriptions, Children's Education, Charitable Giving
             Invest: RRSP, TFSA, Non-Registered, Real Estate, Business Investments, Emergency Fund
RETIREMENT — Income: CPP, OAS/GIS, RRIF Withdrawals, Dividends/Income, Pension, Other
             Expenses: Housing/Maintenance, Healthcare, Travel/Leisure, Groceries, Utilities, Insurance, Estate/Legal Fees, Charitable Giving
             Invest: RRIF, TFSA, Non-Registered, Charitable Giving</t>
        </is>
      </c>
    </row>
    <row r="13" ht="6" customHeight="1"/>
    <row r="14" ht="176" customHeight="1">
      <c r="A14" s="90" t="inlineStr">
        <is>
          <t>FUTURE YEAR TAB</t>
        </is>
      </c>
      <c r="B14" s="91" t="inlineStr">
        <is>
          <t>Year selector: dropdown 2026–2035.
Auto Life Stage: calculated from birth year + selected year (same age-band logic as Budget tab).
% Change table: 4 rows (Income, Expenses, Investments, Net CF) with YoY% | Override | Use Override? | 2025 Actual | Projected | Change ($) | Notes
Multi-year projection TABLE (2025–2035): rows = Income, Expenses, Investments, Net CF. Cols = each year.
  2025 column = pulled from Budget tab totals (read-only).
  2026+ = compound growth: 2025_actual * (1 + pct)^(year-2025) — live-updates when % changes.
  Override column: user can type any number for any year cell and toggle 'Y' to use it.
Auto Life Stage row beneath table: shows projected life stage per year.
Life Events table: Year | Event | Income Impact | Expense Impact | Notes — 5 editable rows.
Bar chart: Income / Expenses / Net CF per year, 2025–2035. Colours: purple / red / ivy green.
Chart must only have 3 series — no phantom/empty series. Bind directly to the 3 data rows.</t>
        </is>
      </c>
    </row>
    <row r="15" ht="6" customHeight="1"/>
    <row r="16" ht="208" customHeight="1">
      <c r="A16" s="90" t="inlineStr">
        <is>
          <t>STYLING</t>
        </is>
      </c>
      <c r="B16" s="91" t="inlineStr">
        <is>
          <t>Background: #1A0A2E (deep dark purple) for headers/hero areas.
Section headers: #3B1F6A (mid purple) background, #B8972E gold text.
Input rows: alternating #EDE9F6 (pale purple) and #F5F3FF (off-white).
Income section: pale purple rows.
Expense section: very light red #FFF0F0 rows.
Investment section: very light green #F0FFF4 rows.
Net Cash Flow row: #2D6A4F (ivy green) background, white text.
Gold accent: #B8972E / #D4AF37 — used for column headers and highlights.
NO bright/neon yellow — gold only.
Borders: solid #3B1F6A, never fading to white. Every data region has a clear solid border box.
Logo: 44×44px, top-left corner of every sheet. No extra whitespace around it.
Font: system-ui / Inter / Calibri, 16px for inputs, 14px for labels, 12px for sub-labels.
Desktop-first: monthly columns ≥100px, row heights ≥48px for data rows.</t>
        </is>
      </c>
    </row>
    <row r="17" ht="6" customHeight="1"/>
    <row r="18" ht="64" customHeight="1">
      <c r="A18" s="90" t="inlineStr">
        <is>
          <t>MOBILE</t>
        </is>
      </c>
      <c r="B18" s="91" t="inlineStr">
        <is>
          <t>On screens &lt;768px: collapse month columns into a single 'Monthly Avg' column.
Show Jan-Dec toggle button to expand to full grid.
Sticky header row with category names.
Life stage dropdown becomes a bottom sheet on mobile.</t>
        </is>
      </c>
    </row>
    <row r="19" ht="6" customHeight="1"/>
    <row r="20" ht="96" customHeight="1">
      <c r="A20" s="90" t="inlineStr">
        <is>
          <t>UX NOTES</t>
        </is>
      </c>
      <c r="B20" s="91" t="inlineStr">
        <is>
          <t>'+ Add row' button at bottom of each section (Income, Expenses, Investments).
Row labels are editable (click to rename).
Planner Sync banner: top of Budget, dismissible, shows 4 synced values.
Export to Excel button: top-right, uses SheetJS, filename PurplePortfolio_Budget_[Year].xlsx
Auto-save to localStorage on every input change.
Tooltips on investment account names (explain TFSA, FHSA, RRSP, RESP, RRIF briefly).</t>
        </is>
      </c>
    </row>
    <row r="21" ht="6" customHeight="1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2026-06-24T16:25:43Z</dcterms:created>
  <dcterms:modified xmlns:dcterms="http://purl.org/dc/terms/" xmlns:xsi="http://www.w3.org/2001/XMLSchema-instance" xsi:type="dcterms:W3CDTF">2026-06-24T16:25:43Z</dcterms:modified>
</cp:coreProperties>
</file>